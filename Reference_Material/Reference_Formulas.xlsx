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722571119c7a42/Documents/Fede/AI Test/"/>
    </mc:Choice>
  </mc:AlternateContent>
  <xr:revisionPtr revIDLastSave="11" documentId="8_{650ED417-E0C9-4EDB-A2D3-A6308B444F04}" xr6:coauthVersionLast="47" xr6:coauthVersionMax="47" xr10:uidLastSave="{4E0231C9-75F8-4E86-BDBC-C220DF2FA2BF}"/>
  <bookViews>
    <workbookView xWindow="-108" yWindow="-108" windowWidth="23256" windowHeight="12456" xr2:uid="{7852D1D9-EB30-447A-BF3C-F7B692B58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7" i="1" l="1"/>
  <c r="L4" i="1"/>
  <c r="L3" i="1"/>
  <c r="L2" i="1"/>
  <c r="G7" i="1"/>
  <c r="F7" i="1"/>
  <c r="I7" i="1" s="1"/>
  <c r="J4" i="1"/>
  <c r="K4" i="1" s="1"/>
  <c r="I4" i="1"/>
  <c r="H4" i="1"/>
  <c r="J3" i="1"/>
  <c r="K3" i="1" s="1"/>
  <c r="I3" i="1"/>
  <c r="H3" i="1"/>
  <c r="J2" i="1"/>
  <c r="K2" i="1" s="1"/>
  <c r="K7" i="1" s="1"/>
  <c r="I2" i="1"/>
  <c r="H2" i="1"/>
  <c r="J7" i="1" l="1"/>
  <c r="H7" i="1"/>
</calcChain>
</file>

<file path=xl/sharedStrings.xml><?xml version="1.0" encoding="utf-8"?>
<sst xmlns="http://schemas.openxmlformats.org/spreadsheetml/2006/main" count="32" uniqueCount="21">
  <si>
    <t>Error</t>
  </si>
  <si>
    <t>Bias</t>
  </si>
  <si>
    <t>Abs Error</t>
  </si>
  <si>
    <t>APE</t>
  </si>
  <si>
    <t>MAD</t>
  </si>
  <si>
    <t>MAPE</t>
  </si>
  <si>
    <t>Category</t>
  </si>
  <si>
    <t>Product</t>
  </si>
  <si>
    <t>Year</t>
  </si>
  <si>
    <t>Month</t>
  </si>
  <si>
    <t>Packaging Unit</t>
  </si>
  <si>
    <t>Forecast</t>
  </si>
  <si>
    <t>Sales</t>
  </si>
  <si>
    <t>Beverage</t>
  </si>
  <si>
    <t>WaterBottle250ml</t>
  </si>
  <si>
    <t>FEB</t>
  </si>
  <si>
    <t>Case</t>
  </si>
  <si>
    <t>MAR</t>
  </si>
  <si>
    <t>MAY</t>
  </si>
  <si>
    <t>Total</t>
  </si>
  <si>
    <t>Forecast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</si>
</sst>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EB44-EEF3-4518-8228-CFA1C2838D0F}">
  <dimension ref="A1:L7"/>
  <sheetViews>
    <sheetView tabSelected="1" workbookViewId="0">
      <selection activeCell="E7" sqref="E7"/>
    </sheetView>
  </sheetViews>
  <sheetFormatPr defaultRowHeight="14.4" x14ac:dyDescent="0.3"/>
  <cols>
    <col min="2" max="2" width="15.6640625" bestFit="1" customWidth="1"/>
    <col min="5" max="5" width="13.33203125" bestFit="1" customWidth="1"/>
    <col min="12" max="12" width="16.33203125" bestFit="1" customWidth="1"/>
  </cols>
  <sheetData>
    <row r="1" spans="1:12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20</v>
      </c>
    </row>
    <row r="2" spans="1:12" x14ac:dyDescent="0.3">
      <c r="A2" t="s">
        <v>13</v>
      </c>
      <c r="B2" t="s">
        <v>14</v>
      </c>
      <c r="C2" s="2">
        <v>2021</v>
      </c>
      <c r="D2" s="2" t="s">
        <v>15</v>
      </c>
      <c r="E2" s="2" t="s">
        <v>16</v>
      </c>
      <c r="F2" s="4">
        <v>10344</v>
      </c>
      <c r="G2" s="4">
        <v>9851</v>
      </c>
      <c r="H2" s="2">
        <f>G2-F2</f>
        <v>-493</v>
      </c>
      <c r="I2" s="3">
        <f>(F2-G2)/G2</f>
        <v>5.0045680641559231E-2</v>
      </c>
      <c r="J2" s="4">
        <f>ABS(G2-F2)</f>
        <v>493</v>
      </c>
      <c r="K2" s="3">
        <f>(J2/G2)</f>
        <v>5.0045680641559231E-2</v>
      </c>
      <c r="L2" s="3">
        <f>100%-K2</f>
        <v>0.94995431935844077</v>
      </c>
    </row>
    <row r="3" spans="1:12" x14ac:dyDescent="0.3">
      <c r="A3" t="s">
        <v>13</v>
      </c>
      <c r="B3" t="s">
        <v>14</v>
      </c>
      <c r="C3" s="2">
        <v>2021</v>
      </c>
      <c r="D3" s="2" t="s">
        <v>17</v>
      </c>
      <c r="E3" s="2" t="s">
        <v>16</v>
      </c>
      <c r="F3" s="4">
        <v>10078</v>
      </c>
      <c r="G3" s="4">
        <v>10608</v>
      </c>
      <c r="H3" s="2">
        <f t="shared" ref="H3:H4" si="0">G3-F3</f>
        <v>530</v>
      </c>
      <c r="I3" s="3">
        <f t="shared" ref="I3:I7" si="1">(F3-G3)/G3</f>
        <v>-4.9962292609351436E-2</v>
      </c>
      <c r="J3" s="4">
        <f t="shared" ref="J3:J4" si="2">ABS(G3-F3)</f>
        <v>530</v>
      </c>
      <c r="K3" s="3">
        <f t="shared" ref="K3:K4" si="3">(J3/G3)</f>
        <v>4.9962292609351436E-2</v>
      </c>
      <c r="L3" s="3">
        <f>100%-K3</f>
        <v>0.95003770739064852</v>
      </c>
    </row>
    <row r="4" spans="1:12" x14ac:dyDescent="0.3">
      <c r="A4" t="s">
        <v>13</v>
      </c>
      <c r="B4" t="s">
        <v>14</v>
      </c>
      <c r="C4" s="2">
        <v>2021</v>
      </c>
      <c r="D4" s="2" t="s">
        <v>18</v>
      </c>
      <c r="E4" s="2" t="s">
        <v>16</v>
      </c>
      <c r="F4" s="4">
        <v>10044</v>
      </c>
      <c r="G4" s="4">
        <v>9475</v>
      </c>
      <c r="H4" s="2">
        <f t="shared" si="0"/>
        <v>-569</v>
      </c>
      <c r="I4" s="3">
        <f t="shared" si="1"/>
        <v>6.0052770448548815E-2</v>
      </c>
      <c r="J4" s="4">
        <f t="shared" si="2"/>
        <v>569</v>
      </c>
      <c r="K4" s="3">
        <f t="shared" si="3"/>
        <v>6.0052770448548815E-2</v>
      </c>
      <c r="L4" s="3">
        <f>100%-K4</f>
        <v>0.93994722955145116</v>
      </c>
    </row>
    <row r="5" spans="1:12" x14ac:dyDescent="0.3">
      <c r="C5" s="2"/>
      <c r="D5" s="2"/>
      <c r="E5" s="2"/>
      <c r="F5" s="4"/>
      <c r="G5" s="4"/>
      <c r="H5" s="2"/>
      <c r="I5" s="3"/>
      <c r="J5" s="4"/>
      <c r="K5" s="3"/>
    </row>
    <row r="6" spans="1:12" x14ac:dyDescent="0.3">
      <c r="F6" s="1" t="s">
        <v>11</v>
      </c>
      <c r="G6" s="1" t="s">
        <v>12</v>
      </c>
      <c r="H6" s="1" t="s">
        <v>0</v>
      </c>
      <c r="I6" s="1" t="s">
        <v>1</v>
      </c>
      <c r="J6" s="1" t="s">
        <v>4</v>
      </c>
      <c r="K6" s="1" t="s">
        <v>5</v>
      </c>
      <c r="L6" s="1" t="s">
        <v>20</v>
      </c>
    </row>
    <row r="7" spans="1:12" x14ac:dyDescent="0.3">
      <c r="E7" s="1" t="s">
        <v>19</v>
      </c>
      <c r="F7" s="5">
        <f>SUM(F2:F4)</f>
        <v>30466</v>
      </c>
      <c r="G7" s="5">
        <f>SUM(G2:G4)</f>
        <v>29934</v>
      </c>
      <c r="H7" s="5">
        <f>SUM(H2:H4)</f>
        <v>-532</v>
      </c>
      <c r="I7" s="3">
        <f t="shared" si="1"/>
        <v>1.7772432685240862E-2</v>
      </c>
      <c r="J7" s="5">
        <f>AVERAGE(J2:J4)</f>
        <v>530.66666666666663</v>
      </c>
      <c r="K7" s="3">
        <f>AVERAGE(K2:K4)</f>
        <v>5.3353581233153168E-2</v>
      </c>
      <c r="L7" s="3">
        <f>100%-K7</f>
        <v>0.94664641876684685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Bucayan Lasso</dc:creator>
  <cp:lastModifiedBy>Bucayan Lasso</cp:lastModifiedBy>
  <dcterms:created xsi:type="dcterms:W3CDTF">2026-07-17T18:05:22Z</dcterms:created>
  <dcterms:modified xsi:type="dcterms:W3CDTF">2026-07-17T18:24:32Z</dcterms:modified>
</cp:coreProperties>
</file>